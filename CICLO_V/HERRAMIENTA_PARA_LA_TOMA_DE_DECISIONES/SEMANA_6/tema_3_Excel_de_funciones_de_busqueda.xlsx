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&amp;M\Documents\MAX\UTP\CICLO 5\HERRAMIENTA PARA LA TOMA DE DECISIONES\SEMANA_6\"/>
    </mc:Choice>
  </mc:AlternateContent>
  <xr:revisionPtr revIDLastSave="0" documentId="13_ncr:1_{019B448C-A993-407B-9C1E-F98C758766B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la01" sheetId="1" r:id="rId1"/>
    <sheet name="Tabla02" sheetId="2" r:id="rId2"/>
    <sheet name="BuscarV" sheetId="3" r:id="rId3"/>
    <sheet name="BuscarH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hAJvhpVfOG4ovNL96cwibzDIye6Q=="/>
    </ext>
  </extLst>
</workbook>
</file>

<file path=xl/calcChain.xml><?xml version="1.0" encoding="utf-8"?>
<calcChain xmlns="http://schemas.openxmlformats.org/spreadsheetml/2006/main">
  <c r="P17" i="1" l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P7" i="1"/>
  <c r="Q7" i="1" s="1"/>
  <c r="P6" i="1"/>
  <c r="Q6" i="1" s="1"/>
  <c r="P5" i="1"/>
  <c r="Q5" i="1" s="1"/>
  <c r="P4" i="1"/>
  <c r="Q4" i="1" s="1"/>
  <c r="Q8" i="1" l="1"/>
</calcChain>
</file>

<file path=xl/sharedStrings.xml><?xml version="1.0" encoding="utf-8"?>
<sst xmlns="http://schemas.openxmlformats.org/spreadsheetml/2006/main" count="190" uniqueCount="115">
  <si>
    <t>Tabla de empleados</t>
  </si>
  <si>
    <t>ID</t>
  </si>
  <si>
    <t>Apellidos</t>
  </si>
  <si>
    <t>Nombres</t>
  </si>
  <si>
    <t>Dirección</t>
  </si>
  <si>
    <t>Condicion</t>
  </si>
  <si>
    <t>Sexo</t>
  </si>
  <si>
    <t>Turno</t>
  </si>
  <si>
    <t>Distrito</t>
  </si>
  <si>
    <t>Civil</t>
  </si>
  <si>
    <t>Hijos</t>
  </si>
  <si>
    <t>Fecha Nacimiento</t>
  </si>
  <si>
    <t>Fecha Contrato</t>
  </si>
  <si>
    <t>DNI</t>
  </si>
  <si>
    <t>Correo electrónico</t>
  </si>
  <si>
    <t>SUELDO BRUTO</t>
  </si>
  <si>
    <t>DESCUENTOS</t>
  </si>
  <si>
    <t>SUELDO NETO</t>
  </si>
  <si>
    <t>ACEVEDO CAMPOS</t>
  </si>
  <si>
    <t>ANDRÉS</t>
  </si>
  <si>
    <t>AV. VIA LACTEA 165 SOL DE LA MOLINA</t>
  </si>
  <si>
    <t>Nombrado</t>
  </si>
  <si>
    <t>Masculino</t>
  </si>
  <si>
    <t>MAÑANA</t>
  </si>
  <si>
    <t>LA MOLINA</t>
  </si>
  <si>
    <t>V</t>
  </si>
  <si>
    <t>esalvatirg@hotmail.com</t>
  </si>
  <si>
    <t>AGUIRRE FALCON</t>
  </si>
  <si>
    <t>JOHANA</t>
  </si>
  <si>
    <t>AV. JAVIER PRADO OESTE 960</t>
  </si>
  <si>
    <t>Contratado</t>
  </si>
  <si>
    <t>Femenino</t>
  </si>
  <si>
    <t>SAN ISIDRO</t>
  </si>
  <si>
    <t>D</t>
  </si>
  <si>
    <t>rmore@hotmail.com</t>
  </si>
  <si>
    <t>AGUIRRE VEGA</t>
  </si>
  <si>
    <t>JAIME</t>
  </si>
  <si>
    <t>AV. LOS CASTAÑOS 355</t>
  </si>
  <si>
    <t>NOCHE</t>
  </si>
  <si>
    <t>jtapia@hotmail.com</t>
  </si>
  <si>
    <t>AGUIRRE CRIADO</t>
  </si>
  <si>
    <t>DARLIN</t>
  </si>
  <si>
    <t>AV. JAVIER PRADO ESTE 897 OF 51</t>
  </si>
  <si>
    <t>MIRAFLORES</t>
  </si>
  <si>
    <t>C</t>
  </si>
  <si>
    <t>jmarañon@hotmail.com</t>
  </si>
  <si>
    <t>AGUIRRE PEREZ</t>
  </si>
  <si>
    <t>AV. V.A. BELAUNDE 147 TORRE RAL 4 PISO 5</t>
  </si>
  <si>
    <t>TARDE</t>
  </si>
  <si>
    <t>bjean mairet@hotmail.com</t>
  </si>
  <si>
    <t>ALARCON LUNA</t>
  </si>
  <si>
    <t>SEBESTINO</t>
  </si>
  <si>
    <t>AV. BERTELLO MZ E LT 1 URB FUNDO BOCANEGRA</t>
  </si>
  <si>
    <t>CALLAO</t>
  </si>
  <si>
    <t>smorales @hotmail.com</t>
  </si>
  <si>
    <t>ALARCON GOMEZ</t>
  </si>
  <si>
    <t>ORLANDO</t>
  </si>
  <si>
    <t>CA. GRAL SANTA CRUZ 520</t>
  </si>
  <si>
    <t>S</t>
  </si>
  <si>
    <t>osarmiento@hotmail.com</t>
  </si>
  <si>
    <t>ALCANTARA PRADO</t>
  </si>
  <si>
    <t>ELENA</t>
  </si>
  <si>
    <t>AV. REPUBICA DE PANAMA 2075</t>
  </si>
  <si>
    <t>LIMA</t>
  </si>
  <si>
    <t>walcantara@hotmail.com</t>
  </si>
  <si>
    <t>ALCANTARA PORTILLA</t>
  </si>
  <si>
    <t>ELKY</t>
  </si>
  <si>
    <t>AV. LAS CAMELIAS 725</t>
  </si>
  <si>
    <t>SAN MIGUEL</t>
  </si>
  <si>
    <t>rhuamani@hotmail.com</t>
  </si>
  <si>
    <t>ALCANTARA  ATOCHE</t>
  </si>
  <si>
    <t>TEODORO</t>
  </si>
  <si>
    <t>AV. PARDO Y ALIAGA 699 OF 302</t>
  </si>
  <si>
    <t>tgalarza@hotmail.com</t>
  </si>
  <si>
    <t>ALMEIDA VIDAURRE</t>
  </si>
  <si>
    <t>KEVIN</t>
  </si>
  <si>
    <t>AV. JOSE PARDO 640 DPTO 602</t>
  </si>
  <si>
    <t>Practicante</t>
  </si>
  <si>
    <t>SANTA ANITA</t>
  </si>
  <si>
    <t>aarevalo@hotmail.com</t>
  </si>
  <si>
    <t>ALMORA CAMPOS</t>
  </si>
  <si>
    <t>GUSTAVO</t>
  </si>
  <si>
    <t>AV. COMANDANTE ESPINAR 203 PISO 6</t>
  </si>
  <si>
    <t>gchaucar@hotmail.com</t>
  </si>
  <si>
    <t>ALONSO  VIDAL</t>
  </si>
  <si>
    <t>SHARELLY</t>
  </si>
  <si>
    <t>BREÑA</t>
  </si>
  <si>
    <t>eramos@hotmail.com</t>
  </si>
  <si>
    <t>ALVARADO RAMOS</t>
  </si>
  <si>
    <t>CHIRLEY</t>
  </si>
  <si>
    <t>AV. ANGAMOS ESTE 1625</t>
  </si>
  <si>
    <t>SAN BORJA</t>
  </si>
  <si>
    <t>anuñez@hotmail.com</t>
  </si>
  <si>
    <t>Tabla de producción (miles de kilogramos)</t>
  </si>
  <si>
    <t>Columna1</t>
  </si>
  <si>
    <t>Columna2</t>
  </si>
  <si>
    <t>Columna3</t>
  </si>
  <si>
    <t>Columna4</t>
  </si>
  <si>
    <t>Producto \ Zona</t>
  </si>
  <si>
    <t>Norte</t>
  </si>
  <si>
    <t>Centro</t>
  </si>
  <si>
    <t>Sur</t>
  </si>
  <si>
    <t>Papa</t>
  </si>
  <si>
    <t>Camote</t>
  </si>
  <si>
    <t>Yuca</t>
  </si>
  <si>
    <t>Maiz</t>
  </si>
  <si>
    <t>Lechuga</t>
  </si>
  <si>
    <t>Betarraga</t>
  </si>
  <si>
    <t>Busqueda de empleado</t>
  </si>
  <si>
    <t>Ingresar el ID</t>
  </si>
  <si>
    <t>=BUSCARV($A$4;Tabla01!$A$3:$Q$17;2;FALSO)</t>
  </si>
  <si>
    <t>=BUSCARV($A$4;empleados;2;FALSO)</t>
  </si>
  <si>
    <t>=BUSCARV($A$4;empleados[#Todos];2;FALSO)</t>
  </si>
  <si>
    <t>Ingresar la zona</t>
  </si>
  <si>
    <t>=BUSCARH($A$4;productos;2;FALSO)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</si>
</sst>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_-* #,##0.00_-;\-* #,##0.00_-;_-* &quot;-&quot;??_-;_-@"/>
    <numFmt numFmtId="166" formatCode="&quot;S/.&quot;#,##0.00"/>
  </numFmts>
  <fonts count="13" x14ac:knownFonts="1">
    <font>
      <sz val="10"/>
      <color rgb="FF000000"/>
      <name val="Arial"/>
    </font>
    <font>
      <b/>
      <u/>
      <sz val="20"/>
      <color theme="0"/>
      <name val="Arial"/>
    </font>
    <font>
      <sz val="10"/>
      <name val="Arial"/>
    </font>
    <font>
      <b/>
      <sz val="10"/>
      <color theme="0"/>
      <name val="Calibri"/>
    </font>
    <font>
      <sz val="10"/>
      <color theme="1"/>
      <name val="Calibri"/>
    </font>
    <font>
      <b/>
      <sz val="12"/>
      <color theme="1"/>
      <name val="Calibri"/>
    </font>
    <font>
      <b/>
      <sz val="12"/>
      <color theme="0"/>
      <name val="Calibri"/>
    </font>
    <font>
      <sz val="14"/>
      <color theme="1"/>
      <name val="Calibri"/>
    </font>
    <font>
      <sz val="18"/>
      <name val="Arial"/>
    </font>
    <font>
      <sz val="18"/>
      <color theme="1"/>
      <name val="Arial"/>
    </font>
    <font>
      <sz val="10"/>
      <color theme="0"/>
      <name val="Arial"/>
    </font>
    <font>
      <sz val="10"/>
      <color theme="1"/>
      <name val="Arial"/>
    </font>
    <font>
      <sz val="10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5" fontId="4" fillId="0" borderId="5" xfId="0" applyNumberFormat="1" applyFont="1" applyBorder="1"/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7" xfId="0" applyNumberFormat="1" applyFont="1" applyBorder="1"/>
    <xf numFmtId="0" fontId="5" fillId="4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quotePrefix="1" applyFont="1"/>
    <xf numFmtId="164" fontId="11" fillId="5" borderId="5" xfId="0" applyNumberFormat="1" applyFont="1" applyFill="1" applyBorder="1" applyAlignment="1">
      <alignment horizontal="center" vertical="center"/>
    </xf>
    <xf numFmtId="166" fontId="11" fillId="5" borderId="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4" fillId="0" borderId="8" xfId="0" applyFont="1" applyBorder="1" applyAlignment="1">
      <alignment horizontal="center"/>
    </xf>
    <xf numFmtId="165" fontId="4" fillId="0" borderId="9" xfId="0" applyNumberFormat="1" applyFont="1" applyBorder="1"/>
    <xf numFmtId="0" fontId="4" fillId="0" borderId="10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Tabla0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Tabla02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2562225</xdr:colOff>
      <xdr:row>0</xdr:row>
      <xdr:rowOff>0</xdr:rowOff>
    </xdr:from>
    <xdr:ext cx="1714500" cy="7048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0</xdr:row>
      <xdr:rowOff>0</xdr:rowOff>
    </xdr:from>
    <xdr:ext cx="1714500" cy="70485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Q17">
  <tableColumns count="17">
    <tableColumn id="1" xr3:uid="{00000000-0010-0000-0000-000001000000}" name="ID"/>
    <tableColumn id="2" xr3:uid="{00000000-0010-0000-0000-000002000000}" name="Apellidos"/>
    <tableColumn id="3" xr3:uid="{00000000-0010-0000-0000-000003000000}" name="Nombres"/>
    <tableColumn id="4" xr3:uid="{00000000-0010-0000-0000-000004000000}" name="Dirección"/>
    <tableColumn id="5" xr3:uid="{00000000-0010-0000-0000-000005000000}" name="Condicion"/>
    <tableColumn id="6" xr3:uid="{00000000-0010-0000-0000-000006000000}" name="Sexo"/>
    <tableColumn id="7" xr3:uid="{00000000-0010-0000-0000-000007000000}" name="Turno"/>
    <tableColumn id="8" xr3:uid="{00000000-0010-0000-0000-000008000000}" name="Distrito"/>
    <tableColumn id="9" xr3:uid="{00000000-0010-0000-0000-000009000000}" name="Civil"/>
    <tableColumn id="10" xr3:uid="{00000000-0010-0000-0000-00000A000000}" name="Hijos"/>
    <tableColumn id="11" xr3:uid="{00000000-0010-0000-0000-00000B000000}" name="Fecha Nacimiento"/>
    <tableColumn id="12" xr3:uid="{00000000-0010-0000-0000-00000C000000}" name="Fecha Contrato"/>
    <tableColumn id="13" xr3:uid="{00000000-0010-0000-0000-00000D000000}" name="DNI"/>
    <tableColumn id="14" xr3:uid="{00000000-0010-0000-0000-00000E000000}" name="Correo electrónico"/>
    <tableColumn id="15" xr3:uid="{00000000-0010-0000-0000-00000F000000}" name="SUELDO BRUTO"/>
    <tableColumn id="16" xr3:uid="{00000000-0010-0000-0000-000010000000}" name="DESCUENTOS"/>
    <tableColumn id="17" xr3:uid="{00000000-0010-0000-0000-000011000000}" name="SUELDO NETO"/>
  </tableColumns>
  <tableStyleInfo name="Tabla0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D10">
  <tableColumns count="4">
    <tableColumn id="1" xr3:uid="{00000000-0010-0000-0100-000001000000}" name="Columna1"/>
    <tableColumn id="2" xr3:uid="{00000000-0010-0000-0100-000002000000}" name="Columna2"/>
    <tableColumn id="3" xr3:uid="{00000000-0010-0000-0100-000003000000}" name="Columna3"/>
    <tableColumn id="4" xr3:uid="{00000000-0010-0000-0100-000004000000}" name="Columna4"/>
  </tableColumns>
  <tableStyleInfo name="Tabla0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>
      <selection sqref="A1:Q1"/>
    </sheetView>
  </sheetViews>
  <sheetFormatPr baseColWidth="10" defaultColWidth="14.44140625" defaultRowHeight="15" customHeight="1" x14ac:dyDescent="0.25"/>
  <cols>
    <col min="1" max="1" width="4.88671875" customWidth="1"/>
    <col min="2" max="2" width="19" customWidth="1"/>
    <col min="3" max="3" width="10.33203125" customWidth="1"/>
    <col min="4" max="4" width="38.44140625" customWidth="1"/>
    <col min="5" max="5" width="10.6640625" customWidth="1"/>
    <col min="6" max="6" width="10" customWidth="1"/>
    <col min="7" max="7" width="8.33203125" customWidth="1"/>
    <col min="8" max="8" width="10.6640625" customWidth="1"/>
    <col min="9" max="9" width="6.5546875" customWidth="1"/>
    <col min="10" max="10" width="7" customWidth="1"/>
    <col min="11" max="11" width="17.109375" customWidth="1"/>
    <col min="12" max="12" width="15" customWidth="1"/>
    <col min="13" max="13" width="9.44140625" customWidth="1"/>
    <col min="14" max="14" width="22.6640625" customWidth="1"/>
    <col min="15" max="15" width="14.88671875" customWidth="1"/>
    <col min="16" max="16" width="13.109375" customWidth="1"/>
    <col min="17" max="17" width="13.5546875" customWidth="1"/>
    <col min="18" max="26" width="10.6640625" customWidth="1"/>
  </cols>
  <sheetData>
    <row r="1" spans="1:17" ht="30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2.75" customHeight="1" x14ac:dyDescent="0.25"/>
    <row r="3" spans="1:17" ht="31.5" customHeight="1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3" t="s">
        <v>17</v>
      </c>
    </row>
    <row r="4" spans="1:17" ht="15" customHeight="1" x14ac:dyDescent="0.3">
      <c r="A4" s="34">
        <v>1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5" t="s">
        <v>25</v>
      </c>
      <c r="J4" s="5">
        <v>0</v>
      </c>
      <c r="K4" s="6">
        <v>26112</v>
      </c>
      <c r="L4" s="6">
        <v>35217</v>
      </c>
      <c r="M4" s="5">
        <v>14173251</v>
      </c>
      <c r="N4" s="4" t="s">
        <v>26</v>
      </c>
      <c r="O4" s="7">
        <v>9000</v>
      </c>
      <c r="P4" s="7">
        <f t="shared" ref="P4:P17" si="0">7%*O4</f>
        <v>630.00000000000011</v>
      </c>
      <c r="Q4" s="35">
        <f t="shared" ref="Q4:Q17" si="1">O4-P4</f>
        <v>8370</v>
      </c>
    </row>
    <row r="5" spans="1:17" ht="15" customHeight="1" x14ac:dyDescent="0.3">
      <c r="A5" s="34">
        <v>2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23</v>
      </c>
      <c r="H5" s="4" t="s">
        <v>32</v>
      </c>
      <c r="I5" s="5" t="s">
        <v>33</v>
      </c>
      <c r="J5" s="5">
        <v>3</v>
      </c>
      <c r="K5" s="6">
        <v>22146</v>
      </c>
      <c r="L5" s="6">
        <v>35704</v>
      </c>
      <c r="M5" s="5">
        <v>78271343</v>
      </c>
      <c r="N5" s="4" t="s">
        <v>34</v>
      </c>
      <c r="O5" s="7">
        <v>7000</v>
      </c>
      <c r="P5" s="7">
        <f t="shared" si="0"/>
        <v>490.00000000000006</v>
      </c>
      <c r="Q5" s="35">
        <f t="shared" si="1"/>
        <v>6510</v>
      </c>
    </row>
    <row r="6" spans="1:17" ht="15" customHeight="1" x14ac:dyDescent="0.3">
      <c r="A6" s="34">
        <v>3</v>
      </c>
      <c r="B6" s="4" t="s">
        <v>35</v>
      </c>
      <c r="C6" s="4" t="s">
        <v>36</v>
      </c>
      <c r="D6" s="4" t="s">
        <v>37</v>
      </c>
      <c r="E6" s="4" t="s">
        <v>30</v>
      </c>
      <c r="F6" s="4" t="s">
        <v>22</v>
      </c>
      <c r="G6" s="4" t="s">
        <v>38</v>
      </c>
      <c r="H6" s="4" t="s">
        <v>32</v>
      </c>
      <c r="I6" s="5" t="s">
        <v>25</v>
      </c>
      <c r="J6" s="5">
        <v>2</v>
      </c>
      <c r="K6" s="6">
        <v>30815</v>
      </c>
      <c r="L6" s="6">
        <v>35674</v>
      </c>
      <c r="M6" s="5">
        <v>56687654</v>
      </c>
      <c r="N6" s="4" t="s">
        <v>39</v>
      </c>
      <c r="O6" s="7">
        <v>15000</v>
      </c>
      <c r="P6" s="7">
        <f t="shared" si="0"/>
        <v>1050</v>
      </c>
      <c r="Q6" s="35">
        <f t="shared" si="1"/>
        <v>13950</v>
      </c>
    </row>
    <row r="7" spans="1:17" ht="15" customHeight="1" x14ac:dyDescent="0.3">
      <c r="A7" s="34">
        <v>4</v>
      </c>
      <c r="B7" s="4" t="s">
        <v>40</v>
      </c>
      <c r="C7" s="4" t="s">
        <v>41</v>
      </c>
      <c r="D7" s="4" t="s">
        <v>42</v>
      </c>
      <c r="E7" s="4" t="s">
        <v>21</v>
      </c>
      <c r="F7" s="4" t="s">
        <v>31</v>
      </c>
      <c r="G7" s="4" t="s">
        <v>38</v>
      </c>
      <c r="H7" s="4" t="s">
        <v>43</v>
      </c>
      <c r="I7" s="5" t="s">
        <v>44</v>
      </c>
      <c r="J7" s="5">
        <v>5</v>
      </c>
      <c r="K7" s="6">
        <v>22191</v>
      </c>
      <c r="L7" s="6">
        <v>37316</v>
      </c>
      <c r="M7" s="5">
        <v>14776121</v>
      </c>
      <c r="N7" s="4" t="s">
        <v>45</v>
      </c>
      <c r="O7" s="7">
        <v>7000</v>
      </c>
      <c r="P7" s="7">
        <f t="shared" si="0"/>
        <v>490.00000000000006</v>
      </c>
      <c r="Q7" s="35">
        <f t="shared" si="1"/>
        <v>6510</v>
      </c>
    </row>
    <row r="8" spans="1:17" ht="15" customHeight="1" x14ac:dyDescent="0.3">
      <c r="A8" s="34">
        <v>5</v>
      </c>
      <c r="B8" s="4" t="s">
        <v>46</v>
      </c>
      <c r="C8" s="4" t="s">
        <v>41</v>
      </c>
      <c r="D8" s="4" t="s">
        <v>47</v>
      </c>
      <c r="E8" s="4" t="s">
        <v>21</v>
      </c>
      <c r="F8" s="4" t="s">
        <v>31</v>
      </c>
      <c r="G8" s="4" t="s">
        <v>48</v>
      </c>
      <c r="H8" s="4" t="s">
        <v>32</v>
      </c>
      <c r="I8" s="5" t="s">
        <v>33</v>
      </c>
      <c r="J8" s="5">
        <v>0</v>
      </c>
      <c r="K8" s="6">
        <v>27523</v>
      </c>
      <c r="L8" s="6">
        <v>35855</v>
      </c>
      <c r="M8" s="5">
        <v>38782869</v>
      </c>
      <c r="N8" s="4" t="s">
        <v>49</v>
      </c>
      <c r="O8" s="7">
        <v>8000</v>
      </c>
      <c r="P8" s="7">
        <f t="shared" si="0"/>
        <v>560</v>
      </c>
      <c r="Q8" s="35">
        <f t="shared" si="1"/>
        <v>7440</v>
      </c>
    </row>
    <row r="9" spans="1:17" ht="15" customHeight="1" x14ac:dyDescent="0.3">
      <c r="A9" s="34">
        <v>6</v>
      </c>
      <c r="B9" s="4" t="s">
        <v>50</v>
      </c>
      <c r="C9" s="4" t="s">
        <v>51</v>
      </c>
      <c r="D9" s="4" t="s">
        <v>52</v>
      </c>
      <c r="E9" s="4" t="s">
        <v>21</v>
      </c>
      <c r="F9" s="4" t="s">
        <v>22</v>
      </c>
      <c r="G9" s="4" t="s">
        <v>38</v>
      </c>
      <c r="H9" s="4" t="s">
        <v>53</v>
      </c>
      <c r="I9" s="5" t="s">
        <v>33</v>
      </c>
      <c r="J9" s="5">
        <v>0</v>
      </c>
      <c r="K9" s="6">
        <v>29626</v>
      </c>
      <c r="L9" s="6">
        <v>36373</v>
      </c>
      <c r="M9" s="5">
        <v>39739884</v>
      </c>
      <c r="N9" s="4" t="s">
        <v>54</v>
      </c>
      <c r="O9" s="7">
        <v>8000</v>
      </c>
      <c r="P9" s="7">
        <f t="shared" si="0"/>
        <v>560</v>
      </c>
      <c r="Q9" s="35">
        <f t="shared" si="1"/>
        <v>7440</v>
      </c>
    </row>
    <row r="10" spans="1:17" ht="15" customHeight="1" x14ac:dyDescent="0.3">
      <c r="A10" s="34">
        <v>7</v>
      </c>
      <c r="B10" s="4" t="s">
        <v>55</v>
      </c>
      <c r="C10" s="4" t="s">
        <v>56</v>
      </c>
      <c r="D10" s="4" t="s">
        <v>57</v>
      </c>
      <c r="E10" s="4" t="s">
        <v>21</v>
      </c>
      <c r="F10" s="4" t="s">
        <v>22</v>
      </c>
      <c r="G10" s="4" t="s">
        <v>23</v>
      </c>
      <c r="H10" s="4" t="s">
        <v>32</v>
      </c>
      <c r="I10" s="5" t="s">
        <v>58</v>
      </c>
      <c r="J10" s="5">
        <v>0</v>
      </c>
      <c r="K10" s="6">
        <v>27930</v>
      </c>
      <c r="L10" s="6">
        <v>36586</v>
      </c>
      <c r="M10" s="5">
        <v>67578264</v>
      </c>
      <c r="N10" s="4" t="s">
        <v>59</v>
      </c>
      <c r="O10" s="7">
        <v>10000</v>
      </c>
      <c r="P10" s="7">
        <f t="shared" si="0"/>
        <v>700.00000000000011</v>
      </c>
      <c r="Q10" s="35">
        <f t="shared" si="1"/>
        <v>9300</v>
      </c>
    </row>
    <row r="11" spans="1:17" ht="15" customHeight="1" x14ac:dyDescent="0.3">
      <c r="A11" s="34">
        <v>8</v>
      </c>
      <c r="B11" s="4" t="s">
        <v>60</v>
      </c>
      <c r="C11" s="4" t="s">
        <v>61</v>
      </c>
      <c r="D11" s="4" t="s">
        <v>62</v>
      </c>
      <c r="E11" s="4" t="s">
        <v>21</v>
      </c>
      <c r="F11" s="4" t="s">
        <v>31</v>
      </c>
      <c r="G11" s="4" t="s">
        <v>38</v>
      </c>
      <c r="H11" s="4" t="s">
        <v>63</v>
      </c>
      <c r="I11" s="5" t="s">
        <v>33</v>
      </c>
      <c r="J11" s="5">
        <v>0</v>
      </c>
      <c r="K11" s="6">
        <v>24941</v>
      </c>
      <c r="L11" s="6">
        <v>36312</v>
      </c>
      <c r="M11" s="5">
        <v>32289743</v>
      </c>
      <c r="N11" s="4" t="s">
        <v>64</v>
      </c>
      <c r="O11" s="7">
        <v>16000</v>
      </c>
      <c r="P11" s="7">
        <f t="shared" si="0"/>
        <v>1120</v>
      </c>
      <c r="Q11" s="35">
        <f t="shared" si="1"/>
        <v>14880</v>
      </c>
    </row>
    <row r="12" spans="1:17" ht="15" customHeight="1" x14ac:dyDescent="0.3">
      <c r="A12" s="34">
        <v>9</v>
      </c>
      <c r="B12" s="4" t="s">
        <v>65</v>
      </c>
      <c r="C12" s="4" t="s">
        <v>66</v>
      </c>
      <c r="D12" s="4" t="s">
        <v>67</v>
      </c>
      <c r="E12" s="4" t="s">
        <v>30</v>
      </c>
      <c r="F12" s="4" t="s">
        <v>22</v>
      </c>
      <c r="G12" s="4" t="s">
        <v>48</v>
      </c>
      <c r="H12" s="4" t="s">
        <v>68</v>
      </c>
      <c r="I12" s="5" t="s">
        <v>58</v>
      </c>
      <c r="J12" s="5">
        <v>0</v>
      </c>
      <c r="K12" s="6">
        <v>27456</v>
      </c>
      <c r="L12" s="6">
        <v>35309</v>
      </c>
      <c r="M12" s="5">
        <v>54958446</v>
      </c>
      <c r="N12" s="4" t="s">
        <v>69</v>
      </c>
      <c r="O12" s="7">
        <v>15000</v>
      </c>
      <c r="P12" s="7">
        <f t="shared" si="0"/>
        <v>1050</v>
      </c>
      <c r="Q12" s="35">
        <f t="shared" si="1"/>
        <v>13950</v>
      </c>
    </row>
    <row r="13" spans="1:17" ht="15" customHeight="1" x14ac:dyDescent="0.3">
      <c r="A13" s="34">
        <v>10</v>
      </c>
      <c r="B13" s="4" t="s">
        <v>70</v>
      </c>
      <c r="C13" s="4" t="s">
        <v>71</v>
      </c>
      <c r="D13" s="4" t="s">
        <v>72</v>
      </c>
      <c r="E13" s="4" t="s">
        <v>30</v>
      </c>
      <c r="F13" s="4" t="s">
        <v>22</v>
      </c>
      <c r="G13" s="4" t="s">
        <v>38</v>
      </c>
      <c r="H13" s="4" t="s">
        <v>63</v>
      </c>
      <c r="I13" s="5" t="s">
        <v>33</v>
      </c>
      <c r="J13" s="5">
        <v>0</v>
      </c>
      <c r="K13" s="6">
        <v>25497</v>
      </c>
      <c r="L13" s="6">
        <v>37530</v>
      </c>
      <c r="M13" s="5">
        <v>97673753</v>
      </c>
      <c r="N13" s="4" t="s">
        <v>73</v>
      </c>
      <c r="O13" s="7">
        <v>15000</v>
      </c>
      <c r="P13" s="7">
        <f t="shared" si="0"/>
        <v>1050</v>
      </c>
      <c r="Q13" s="35">
        <f t="shared" si="1"/>
        <v>13950</v>
      </c>
    </row>
    <row r="14" spans="1:17" ht="15" customHeight="1" x14ac:dyDescent="0.3">
      <c r="A14" s="34">
        <v>11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22</v>
      </c>
      <c r="G14" s="4" t="s">
        <v>38</v>
      </c>
      <c r="H14" s="4" t="s">
        <v>78</v>
      </c>
      <c r="I14" s="5" t="s">
        <v>33</v>
      </c>
      <c r="J14" s="5">
        <v>0</v>
      </c>
      <c r="K14" s="6">
        <v>26921</v>
      </c>
      <c r="L14" s="6">
        <v>35704</v>
      </c>
      <c r="M14" s="5">
        <v>77336964</v>
      </c>
      <c r="N14" s="4" t="s">
        <v>79</v>
      </c>
      <c r="O14" s="7">
        <v>13000</v>
      </c>
      <c r="P14" s="7">
        <f t="shared" si="0"/>
        <v>910.00000000000011</v>
      </c>
      <c r="Q14" s="35">
        <f t="shared" si="1"/>
        <v>12090</v>
      </c>
    </row>
    <row r="15" spans="1:17" ht="15" customHeight="1" x14ac:dyDescent="0.3">
      <c r="A15" s="34">
        <v>12</v>
      </c>
      <c r="B15" s="4" t="s">
        <v>80</v>
      </c>
      <c r="C15" s="4" t="s">
        <v>81</v>
      </c>
      <c r="D15" s="4" t="s">
        <v>82</v>
      </c>
      <c r="E15" s="4" t="s">
        <v>77</v>
      </c>
      <c r="F15" s="4" t="s">
        <v>22</v>
      </c>
      <c r="G15" s="4" t="s">
        <v>48</v>
      </c>
      <c r="H15" s="4" t="s">
        <v>53</v>
      </c>
      <c r="I15" s="5" t="s">
        <v>58</v>
      </c>
      <c r="J15" s="5">
        <v>6</v>
      </c>
      <c r="K15" s="6">
        <v>22482</v>
      </c>
      <c r="L15" s="6">
        <v>37073</v>
      </c>
      <c r="M15" s="5">
        <v>84439341</v>
      </c>
      <c r="N15" s="4" t="s">
        <v>83</v>
      </c>
      <c r="O15" s="7">
        <v>9000</v>
      </c>
      <c r="P15" s="7">
        <f t="shared" si="0"/>
        <v>630.00000000000011</v>
      </c>
      <c r="Q15" s="35">
        <f t="shared" si="1"/>
        <v>8370</v>
      </c>
    </row>
    <row r="16" spans="1:17" ht="15" customHeight="1" x14ac:dyDescent="0.3">
      <c r="A16" s="34">
        <v>13</v>
      </c>
      <c r="B16" s="4" t="s">
        <v>84</v>
      </c>
      <c r="C16" s="4" t="s">
        <v>85</v>
      </c>
      <c r="D16" s="4" t="s">
        <v>29</v>
      </c>
      <c r="E16" s="4" t="s">
        <v>77</v>
      </c>
      <c r="F16" s="4" t="s">
        <v>31</v>
      </c>
      <c r="G16" s="4" t="s">
        <v>38</v>
      </c>
      <c r="H16" s="4" t="s">
        <v>86</v>
      </c>
      <c r="I16" s="5" t="s">
        <v>25</v>
      </c>
      <c r="J16" s="5">
        <v>0</v>
      </c>
      <c r="K16" s="6">
        <v>30931</v>
      </c>
      <c r="L16" s="6">
        <v>37622</v>
      </c>
      <c r="M16" s="5">
        <v>28445271</v>
      </c>
      <c r="N16" s="4" t="s">
        <v>87</v>
      </c>
      <c r="O16" s="7">
        <v>7000</v>
      </c>
      <c r="P16" s="7">
        <f t="shared" si="0"/>
        <v>490.00000000000006</v>
      </c>
      <c r="Q16" s="35">
        <f t="shared" si="1"/>
        <v>6510</v>
      </c>
    </row>
    <row r="17" spans="1:17" ht="15" customHeight="1" x14ac:dyDescent="0.3">
      <c r="A17" s="36">
        <v>14</v>
      </c>
      <c r="B17" s="8" t="s">
        <v>88</v>
      </c>
      <c r="C17" s="8" t="s">
        <v>89</v>
      </c>
      <c r="D17" s="8" t="s">
        <v>90</v>
      </c>
      <c r="E17" s="8" t="s">
        <v>77</v>
      </c>
      <c r="F17" s="8" t="s">
        <v>31</v>
      </c>
      <c r="G17" s="8" t="s">
        <v>48</v>
      </c>
      <c r="H17" s="8" t="s">
        <v>91</v>
      </c>
      <c r="I17" s="9" t="s">
        <v>58</v>
      </c>
      <c r="J17" s="9">
        <v>0</v>
      </c>
      <c r="K17" s="10">
        <v>26196</v>
      </c>
      <c r="L17" s="10">
        <v>35551</v>
      </c>
      <c r="M17" s="9">
        <v>87285338</v>
      </c>
      <c r="N17" s="8" t="s">
        <v>92</v>
      </c>
      <c r="O17" s="11">
        <v>8000</v>
      </c>
      <c r="P17" s="11">
        <f t="shared" si="0"/>
        <v>560</v>
      </c>
      <c r="Q17" s="12">
        <f t="shared" si="1"/>
        <v>7440</v>
      </c>
    </row>
    <row r="18" spans="1:17" ht="12.75" customHeight="1" x14ac:dyDescent="0.25"/>
    <row r="19" spans="1:17" ht="12.75" customHeight="1" x14ac:dyDescent="0.25"/>
    <row r="20" spans="1:17" ht="12.75" customHeight="1" x14ac:dyDescent="0.25"/>
    <row r="21" spans="1:17" ht="12.75" customHeight="1" x14ac:dyDescent="0.25"/>
    <row r="22" spans="1:17" ht="12.75" customHeight="1" x14ac:dyDescent="0.25"/>
    <row r="23" spans="1:17" ht="12.75" customHeight="1" x14ac:dyDescent="0.25"/>
    <row r="24" spans="1:17" ht="12.75" customHeight="1" x14ac:dyDescent="0.25"/>
    <row r="25" spans="1:17" ht="12.75" customHeight="1" x14ac:dyDescent="0.25"/>
    <row r="26" spans="1:17" ht="12.75" customHeight="1" x14ac:dyDescent="0.25"/>
    <row r="27" spans="1:17" ht="12.75" customHeight="1" x14ac:dyDescent="0.25"/>
    <row r="28" spans="1:17" ht="12.75" customHeight="1" x14ac:dyDescent="0.25"/>
    <row r="29" spans="1:17" ht="12.75" customHeight="1" x14ac:dyDescent="0.25"/>
    <row r="30" spans="1:17" ht="12.75" customHeight="1" x14ac:dyDescent="0.25"/>
    <row r="31" spans="1:17" ht="12.75" customHeight="1" x14ac:dyDescent="0.25"/>
    <row r="32" spans="1:17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1:Q1"/>
  </mergeCell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sqref="A1:D1"/>
    </sheetView>
  </sheetViews>
  <sheetFormatPr baseColWidth="10" defaultColWidth="14.44140625" defaultRowHeight="15" customHeight="1" x14ac:dyDescent="0.25"/>
  <cols>
    <col min="1" max="1" width="22.88671875" customWidth="1"/>
    <col min="2" max="4" width="40" customWidth="1"/>
    <col min="5" max="26" width="10.6640625" customWidth="1"/>
  </cols>
  <sheetData>
    <row r="1" spans="1:4" ht="30" customHeight="1" x14ac:dyDescent="0.25">
      <c r="A1" s="38" t="s">
        <v>93</v>
      </c>
      <c r="B1" s="39"/>
      <c r="C1" s="39"/>
      <c r="D1" s="39"/>
    </row>
    <row r="2" spans="1:4" ht="12.75" customHeight="1" x14ac:dyDescent="0.25"/>
    <row r="3" spans="1:4" ht="31.5" customHeight="1" x14ac:dyDescent="0.25">
      <c r="A3" s="13" t="s">
        <v>94</v>
      </c>
      <c r="B3" s="14" t="s">
        <v>95</v>
      </c>
      <c r="C3" s="14" t="s">
        <v>96</v>
      </c>
      <c r="D3" s="15" t="s">
        <v>97</v>
      </c>
    </row>
    <row r="4" spans="1:4" ht="30" customHeight="1" x14ac:dyDescent="0.25">
      <c r="A4" s="16" t="s">
        <v>98</v>
      </c>
      <c r="B4" s="17" t="s">
        <v>99</v>
      </c>
      <c r="C4" s="17" t="s">
        <v>100</v>
      </c>
      <c r="D4" s="18" t="s">
        <v>101</v>
      </c>
    </row>
    <row r="5" spans="1:4" ht="30" customHeight="1" x14ac:dyDescent="0.25">
      <c r="A5" s="19" t="s">
        <v>102</v>
      </c>
      <c r="B5" s="20">
        <v>20515</v>
      </c>
      <c r="C5" s="20">
        <v>3063</v>
      </c>
      <c r="D5" s="37">
        <v>2892</v>
      </c>
    </row>
    <row r="6" spans="1:4" ht="30" customHeight="1" x14ac:dyDescent="0.25">
      <c r="A6" s="19" t="s">
        <v>103</v>
      </c>
      <c r="B6" s="20">
        <v>44527</v>
      </c>
      <c r="C6" s="20">
        <v>40544</v>
      </c>
      <c r="D6" s="37">
        <v>17488</v>
      </c>
    </row>
    <row r="7" spans="1:4" ht="30" customHeight="1" x14ac:dyDescent="0.25">
      <c r="A7" s="19" t="s">
        <v>104</v>
      </c>
      <c r="B7" s="20">
        <v>12652</v>
      </c>
      <c r="C7" s="20">
        <v>28951</v>
      </c>
      <c r="D7" s="37">
        <v>29201</v>
      </c>
    </row>
    <row r="8" spans="1:4" ht="30" customHeight="1" x14ac:dyDescent="0.25">
      <c r="A8" s="19" t="s">
        <v>105</v>
      </c>
      <c r="B8" s="20">
        <v>2794</v>
      </c>
      <c r="C8" s="20">
        <v>5516</v>
      </c>
      <c r="D8" s="37">
        <v>29950</v>
      </c>
    </row>
    <row r="9" spans="1:4" ht="30" customHeight="1" x14ac:dyDescent="0.25">
      <c r="A9" s="19" t="s">
        <v>106</v>
      </c>
      <c r="B9" s="20">
        <v>1725</v>
      </c>
      <c r="C9" s="20">
        <v>12745</v>
      </c>
      <c r="D9" s="37">
        <v>22425</v>
      </c>
    </row>
    <row r="10" spans="1:4" ht="12.75" customHeight="1" x14ac:dyDescent="0.25">
      <c r="A10" s="21" t="s">
        <v>107</v>
      </c>
      <c r="B10" s="22">
        <v>35650</v>
      </c>
      <c r="C10" s="22">
        <v>23737</v>
      </c>
      <c r="D10" s="23">
        <v>6795</v>
      </c>
    </row>
    <row r="11" spans="1:4" ht="12.75" customHeight="1" x14ac:dyDescent="0.25"/>
    <row r="12" spans="1:4" ht="12.75" customHeight="1" x14ac:dyDescent="0.25"/>
    <row r="13" spans="1:4" ht="12.75" customHeight="1" x14ac:dyDescent="0.25"/>
    <row r="14" spans="1:4" ht="12.75" customHeight="1" x14ac:dyDescent="0.25"/>
    <row r="15" spans="1:4" ht="12.75" customHeight="1" x14ac:dyDescent="0.25"/>
    <row r="16" spans="1:4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1:D1"/>
  </mergeCells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5"/>
  <sheetViews>
    <sheetView tabSelected="1" workbookViewId="0">
      <selection activeCell="G20" sqref="G20"/>
    </sheetView>
  </sheetViews>
  <sheetFormatPr baseColWidth="10" defaultColWidth="14.44140625" defaultRowHeight="15" customHeight="1" x14ac:dyDescent="0.25"/>
  <cols>
    <col min="1" max="1" width="25.6640625" customWidth="1"/>
    <col min="2" max="2" width="45" customWidth="1"/>
    <col min="3" max="5" width="6.44140625" customWidth="1"/>
    <col min="6" max="26" width="10.6640625" customWidth="1"/>
  </cols>
  <sheetData>
    <row r="1" spans="1:5" ht="12.75" customHeight="1" x14ac:dyDescent="0.25">
      <c r="A1" s="24"/>
      <c r="B1" s="24"/>
      <c r="C1" s="24"/>
      <c r="D1" s="24"/>
      <c r="E1" s="24"/>
    </row>
    <row r="2" spans="1:5" ht="12.75" customHeight="1" x14ac:dyDescent="0.25">
      <c r="A2" s="24"/>
      <c r="B2" s="24"/>
      <c r="C2" s="24"/>
      <c r="D2" s="24"/>
      <c r="E2" s="24"/>
    </row>
    <row r="4" spans="1:5" ht="12.75" customHeight="1" x14ac:dyDescent="0.25">
      <c r="A4" s="24"/>
      <c r="B4" s="24"/>
      <c r="C4" s="24"/>
      <c r="D4" s="24"/>
      <c r="E4" s="24"/>
    </row>
    <row r="5" spans="1:5" ht="12.75" customHeight="1" x14ac:dyDescent="0.25">
      <c r="A5" s="24"/>
      <c r="B5" s="24"/>
      <c r="C5" s="24"/>
      <c r="D5" s="24"/>
      <c r="E5" s="24"/>
    </row>
    <row r="6" spans="1:5" ht="12.75" customHeight="1" x14ac:dyDescent="0.25">
      <c r="A6" s="40" t="s">
        <v>108</v>
      </c>
      <c r="B6" s="39"/>
      <c r="C6" s="39"/>
      <c r="D6" s="39"/>
      <c r="E6" s="39"/>
    </row>
    <row r="7" spans="1:5" ht="12.75" customHeight="1" x14ac:dyDescent="0.25"/>
    <row r="8" spans="1:5" ht="22.5" customHeight="1" x14ac:dyDescent="0.25">
      <c r="A8" s="25" t="s">
        <v>109</v>
      </c>
    </row>
    <row r="9" spans="1:5" ht="22.5" customHeight="1" x14ac:dyDescent="0.25">
      <c r="A9" s="26">
        <v>5</v>
      </c>
    </row>
    <row r="10" spans="1:5" ht="7.5" customHeight="1" x14ac:dyDescent="0.25"/>
    <row r="11" spans="1:5" ht="18.75" customHeight="1" x14ac:dyDescent="0.25">
      <c r="A11" s="27" t="s">
        <v>2</v>
      </c>
      <c r="B11" s="26"/>
      <c r="C11" s="28"/>
    </row>
    <row r="12" spans="1:5" ht="18.75" customHeight="1" x14ac:dyDescent="0.4">
      <c r="A12" s="27" t="s">
        <v>3</v>
      </c>
      <c r="B12" s="26"/>
      <c r="C12" s="28"/>
      <c r="D12" s="29" t="s">
        <v>110</v>
      </c>
    </row>
    <row r="13" spans="1:5" ht="18.75" customHeight="1" x14ac:dyDescent="0.25">
      <c r="A13" s="27" t="s">
        <v>4</v>
      </c>
      <c r="B13" s="26"/>
      <c r="C13" s="28"/>
    </row>
    <row r="14" spans="1:5" ht="18.75" customHeight="1" x14ac:dyDescent="0.4">
      <c r="A14" s="27" t="s">
        <v>5</v>
      </c>
      <c r="B14" s="26"/>
      <c r="C14" s="28"/>
      <c r="D14" s="29" t="s">
        <v>111</v>
      </c>
    </row>
    <row r="15" spans="1:5" ht="18.75" customHeight="1" x14ac:dyDescent="0.25">
      <c r="A15" s="27" t="s">
        <v>6</v>
      </c>
      <c r="B15" s="26"/>
      <c r="C15" s="28"/>
    </row>
    <row r="16" spans="1:5" ht="18.75" customHeight="1" x14ac:dyDescent="0.4">
      <c r="A16" s="27" t="s">
        <v>7</v>
      </c>
      <c r="B16" s="26"/>
      <c r="C16" s="28"/>
      <c r="D16" s="29" t="s">
        <v>112</v>
      </c>
    </row>
    <row r="17" spans="1:3" ht="18.75" customHeight="1" x14ac:dyDescent="0.25">
      <c r="A17" s="27" t="s">
        <v>8</v>
      </c>
      <c r="B17" s="26"/>
      <c r="C17" s="28"/>
    </row>
    <row r="18" spans="1:3" ht="18.75" customHeight="1" x14ac:dyDescent="0.25">
      <c r="A18" s="27" t="s">
        <v>9</v>
      </c>
      <c r="B18" s="26"/>
      <c r="C18" s="28"/>
    </row>
    <row r="19" spans="1:3" ht="18.75" customHeight="1" x14ac:dyDescent="0.25">
      <c r="A19" s="27" t="s">
        <v>10</v>
      </c>
      <c r="B19" s="26"/>
      <c r="C19" s="28"/>
    </row>
    <row r="20" spans="1:3" ht="18.75" customHeight="1" x14ac:dyDescent="0.25">
      <c r="A20" s="27" t="s">
        <v>11</v>
      </c>
      <c r="B20" s="30"/>
      <c r="C20" s="28"/>
    </row>
    <row r="21" spans="1:3" ht="18.75" customHeight="1" x14ac:dyDescent="0.25">
      <c r="A21" s="27" t="s">
        <v>12</v>
      </c>
      <c r="B21" s="30"/>
      <c r="C21" s="28"/>
    </row>
    <row r="22" spans="1:3" ht="18.75" customHeight="1" x14ac:dyDescent="0.25">
      <c r="A22" s="27" t="s">
        <v>13</v>
      </c>
      <c r="B22" s="26"/>
      <c r="C22" s="28"/>
    </row>
    <row r="23" spans="1:3" ht="18.75" customHeight="1" x14ac:dyDescent="0.25">
      <c r="A23" s="27" t="s">
        <v>14</v>
      </c>
      <c r="B23" s="26"/>
      <c r="C23" s="28"/>
    </row>
    <row r="24" spans="1:3" ht="18.75" customHeight="1" x14ac:dyDescent="0.25">
      <c r="A24" s="27" t="s">
        <v>15</v>
      </c>
      <c r="B24" s="31"/>
      <c r="C24" s="28"/>
    </row>
    <row r="25" spans="1:3" ht="18.75" customHeight="1" x14ac:dyDescent="0.25">
      <c r="A25" s="27" t="s">
        <v>16</v>
      </c>
      <c r="B25" s="31"/>
      <c r="C25" s="28"/>
    </row>
    <row r="26" spans="1:3" ht="18.75" customHeight="1" x14ac:dyDescent="0.25">
      <c r="A26" s="27" t="s">
        <v>17</v>
      </c>
      <c r="B26" s="31"/>
      <c r="C26" s="28"/>
    </row>
    <row r="27" spans="1:3" ht="12.75" customHeight="1" x14ac:dyDescent="0.25"/>
    <row r="28" spans="1:3" ht="12.75" customHeight="1" x14ac:dyDescent="0.25"/>
    <row r="29" spans="1:3" ht="12.75" customHeight="1" x14ac:dyDescent="0.25"/>
    <row r="30" spans="1:3" ht="12.75" customHeight="1" x14ac:dyDescent="0.25"/>
    <row r="31" spans="1:3" ht="12.75" customHeight="1" x14ac:dyDescent="0.25"/>
    <row r="32" spans="1:3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</sheetData>
  <mergeCells count="1">
    <mergeCell ref="A6:E6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5"/>
  <sheetViews>
    <sheetView workbookViewId="0">
      <selection activeCell="B11" sqref="B11:B16"/>
    </sheetView>
  </sheetViews>
  <sheetFormatPr baseColWidth="10" defaultColWidth="14.44140625" defaultRowHeight="15" customHeight="1" x14ac:dyDescent="0.25"/>
  <cols>
    <col min="1" max="1" width="25.6640625" customWidth="1"/>
    <col min="2" max="2" width="31.44140625" customWidth="1"/>
    <col min="3" max="5" width="10" customWidth="1"/>
    <col min="6" max="26" width="10.6640625" customWidth="1"/>
  </cols>
  <sheetData>
    <row r="1" spans="1:5" ht="12.75" customHeight="1" x14ac:dyDescent="0.25">
      <c r="A1" s="32"/>
      <c r="B1" s="32"/>
      <c r="C1" s="32"/>
      <c r="D1" s="32"/>
      <c r="E1" s="32"/>
    </row>
    <row r="2" spans="1:5" ht="12.75" customHeight="1" x14ac:dyDescent="0.25">
      <c r="A2" s="32"/>
      <c r="B2" s="32"/>
      <c r="C2" s="32"/>
      <c r="D2" s="32"/>
      <c r="E2" s="32"/>
    </row>
    <row r="3" spans="1:5" ht="12.75" customHeight="1" x14ac:dyDescent="0.25">
      <c r="A3" s="24"/>
      <c r="B3" s="24"/>
      <c r="C3" s="24"/>
      <c r="D3" s="24"/>
      <c r="E3" s="24"/>
    </row>
    <row r="4" spans="1:5" ht="12.75" customHeight="1" x14ac:dyDescent="0.25">
      <c r="A4" s="24"/>
      <c r="B4" s="24"/>
      <c r="C4" s="24"/>
      <c r="D4" s="24"/>
      <c r="E4" s="24"/>
    </row>
    <row r="5" spans="1:5" ht="12.75" customHeight="1" x14ac:dyDescent="0.25">
      <c r="A5" s="24"/>
      <c r="B5" s="24"/>
      <c r="C5" s="24"/>
      <c r="D5" s="24"/>
      <c r="E5" s="24"/>
    </row>
    <row r="6" spans="1:5" ht="12.75" customHeight="1" x14ac:dyDescent="0.25">
      <c r="A6" s="40" t="s">
        <v>108</v>
      </c>
      <c r="B6" s="39"/>
      <c r="C6" s="39"/>
      <c r="D6" s="39"/>
      <c r="E6" s="39"/>
    </row>
    <row r="7" spans="1:5" ht="12.75" customHeight="1" x14ac:dyDescent="0.25"/>
    <row r="8" spans="1:5" ht="22.5" customHeight="1" x14ac:dyDescent="0.25">
      <c r="A8" s="25" t="s">
        <v>113</v>
      </c>
    </row>
    <row r="9" spans="1:5" ht="22.5" customHeight="1" x14ac:dyDescent="0.25">
      <c r="A9" s="26" t="s">
        <v>101</v>
      </c>
    </row>
    <row r="10" spans="1:5" ht="7.5" customHeight="1" x14ac:dyDescent="0.25"/>
    <row r="11" spans="1:5" ht="18.75" customHeight="1" x14ac:dyDescent="0.4">
      <c r="A11" s="27" t="s">
        <v>102</v>
      </c>
      <c r="B11" s="26"/>
      <c r="E11" s="33"/>
    </row>
    <row r="12" spans="1:5" ht="18.75" customHeight="1" x14ac:dyDescent="0.4">
      <c r="A12" s="27" t="s">
        <v>103</v>
      </c>
      <c r="B12" s="26"/>
      <c r="E12" s="33"/>
    </row>
    <row r="13" spans="1:5" ht="18.75" customHeight="1" x14ac:dyDescent="0.4">
      <c r="A13" s="27" t="s">
        <v>104</v>
      </c>
      <c r="B13" s="26"/>
      <c r="E13" s="29" t="s">
        <v>114</v>
      </c>
    </row>
    <row r="14" spans="1:5" ht="18.75" customHeight="1" x14ac:dyDescent="0.25">
      <c r="A14" s="27" t="s">
        <v>105</v>
      </c>
      <c r="B14" s="26"/>
    </row>
    <row r="15" spans="1:5" ht="18.75" customHeight="1" x14ac:dyDescent="0.25">
      <c r="A15" s="27" t="s">
        <v>106</v>
      </c>
      <c r="B15" s="26"/>
    </row>
    <row r="16" spans="1:5" ht="18.75" customHeight="1" x14ac:dyDescent="0.25">
      <c r="A16" s="27" t="s">
        <v>107</v>
      </c>
      <c r="B16" s="26"/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</sheetData>
  <mergeCells count="1">
    <mergeCell ref="A6:E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Tabla01</vt:lpstr>
      <vt:lpstr>Tabla02</vt:lpstr>
      <vt:lpstr>BuscarV</vt:lpstr>
      <vt:lpstr>BuscarH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- Jhon Paul Anampa García</dc:creator>
  <cp:keywords/>
  <dc:description/>
  <cp:lastModifiedBy>ALUMNO - MAX ANDERSON BENITES CORAZON</cp:lastModifiedBy>
  <cp:revision/>
  <dcterms:created xsi:type="dcterms:W3CDTF">2019-09-07T18:57:51Z</dcterms:created>
  <dcterms:modified xsi:type="dcterms:W3CDTF">2026-05-01T19:23:48Z</dcterms:modified>
  <cp:category/>
  <cp:contentStatus/>
</cp:coreProperties>
</file>